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é Luis Y Lorena\Documents\José Luis Buap\1er Semestre\Software Actuarial 1\"/>
    </mc:Choice>
  </mc:AlternateContent>
  <bookViews>
    <workbookView xWindow="0" yWindow="0" windowWidth="20490" windowHeight="7650" firstSheet="3" activeTab="9"/>
  </bookViews>
  <sheets>
    <sheet name="Hoja2" sheetId="2" r:id="rId1"/>
    <sheet name="Hoja4" sheetId="4" r:id="rId2"/>
    <sheet name="Hoja3" sheetId="3" r:id="rId3"/>
    <sheet name="Hoja6" sheetId="6" r:id="rId4"/>
    <sheet name="Hoja5" sheetId="5" r:id="rId5"/>
    <sheet name="Hoja7" sheetId="7" r:id="rId6"/>
    <sheet name="Hoja9" sheetId="9" r:id="rId7"/>
    <sheet name="Hoja8" sheetId="8" r:id="rId8"/>
    <sheet name="Hoja1" sheetId="1" r:id="rId9"/>
    <sheet name="Hoja19" sheetId="19" r:id="rId10"/>
    <sheet name="Hoja18" sheetId="18" r:id="rId11"/>
    <sheet name="Hoja17" sheetId="17" r:id="rId12"/>
    <sheet name="Hoja16" sheetId="16" r:id="rId13"/>
    <sheet name="Hoja15" sheetId="15" r:id="rId14"/>
    <sheet name="Hoja14" sheetId="14" r:id="rId15"/>
    <sheet name="Hoja13" sheetId="13" r:id="rId16"/>
    <sheet name="Hoja12" sheetId="12" r:id="rId17"/>
    <sheet name="Hoja11" sheetId="11" r:id="rId18"/>
    <sheet name="Hoja10" sheetId="10" r:id="rId19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9" l="1"/>
  <c r="B13" i="18"/>
  <c r="B13" i="17"/>
  <c r="B13" i="16" l="1"/>
  <c r="B13" i="15"/>
  <c r="B13" i="14" l="1"/>
  <c r="B13" i="13"/>
  <c r="B13" i="12"/>
  <c r="B13" i="11"/>
  <c r="B13" i="10"/>
  <c r="B13" i="1"/>
  <c r="E10" i="1"/>
  <c r="C11" i="1"/>
  <c r="D11" i="1"/>
  <c r="E11" i="1"/>
  <c r="F11" i="1"/>
  <c r="G11" i="1"/>
  <c r="H11" i="1"/>
  <c r="I11" i="1"/>
  <c r="J11" i="1"/>
  <c r="K11" i="1"/>
  <c r="B11" i="1"/>
  <c r="D10" i="1"/>
  <c r="F10" i="1"/>
  <c r="G10" i="1" s="1"/>
  <c r="H10" i="1" s="1"/>
  <c r="I10" i="1" s="1"/>
  <c r="J10" i="1" s="1"/>
  <c r="K10" i="1" s="1"/>
  <c r="C10" i="1"/>
</calcChain>
</file>

<file path=xl/sharedStrings.xml><?xml version="1.0" encoding="utf-8"?>
<sst xmlns="http://schemas.openxmlformats.org/spreadsheetml/2006/main" count="173" uniqueCount="14">
  <si>
    <t>Datos de Entrada</t>
  </si>
  <si>
    <t>1. Flujo de salida al inicio del año 1</t>
  </si>
  <si>
    <t>2. Flujo de entrada al final del año 1</t>
  </si>
  <si>
    <t>3. Tasa de incrementos del flujo de entrada al año</t>
  </si>
  <si>
    <t>4. Número de años de los flujos de entrada</t>
  </si>
  <si>
    <t>5. Tasa de descuento</t>
  </si>
  <si>
    <t>Modelo de flujos</t>
  </si>
  <si>
    <t>Año</t>
  </si>
  <si>
    <t>Flujo de efectivo</t>
  </si>
  <si>
    <t>Factor de descuento</t>
  </si>
  <si>
    <t>Valor Presente Neto</t>
  </si>
  <si>
    <t>Datos de entrada</t>
  </si>
  <si>
    <t>Tasa</t>
  </si>
  <si>
    <t>VPN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</si>
</sst>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2" borderId="0" xfId="0" applyNumberFormat="1" applyFill="1"/>
    <xf numFmtId="0" fontId="0" fillId="2" borderId="0" xfId="0" applyFill="1"/>
    <xf numFmtId="44" fontId="0" fillId="0" borderId="0" xfId="1" applyFont="1"/>
    <xf numFmtId="44" fontId="0" fillId="2" borderId="0" xfId="1" applyFont="1" applyFill="1"/>
    <xf numFmtId="0" fontId="2" fillId="0" borderId="0" xfId="0" applyFont="1"/>
    <xf numFmtId="9" fontId="0" fillId="2" borderId="0" xfId="2" applyFont="1" applyFill="1"/>
    <xf numFmtId="9" fontId="0" fillId="0" borderId="0" xfId="2" applyFont="1"/>
    <xf numFmtId="0" fontId="0" fillId="0" borderId="1" xfId="0" applyBorder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cols>
    <col min="1" max="1" width="37.28515625" customWidth="1"/>
  </cols>
  <sheetData>
    <row r="1" spans="1:1" x14ac:dyDescent="0.25">
      <c r="A1" s="5" t="s">
        <v>11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workbookViewId="0"/>
  </sheetViews>
  <sheetFormatPr baseColWidth="10" defaultRowHeight="15" x14ac:dyDescent="0.25"/>
  <cols>
    <col min="1" max="1" width="46.5703125" customWidth="1"/>
  </cols>
  <sheetData>
    <row r="1" spans="1:2" x14ac:dyDescent="0.25">
      <c r="A1" s="5" t="s">
        <v>11</v>
      </c>
    </row>
    <row r="2" spans="1:2" x14ac:dyDescent="0.25">
      <c r="A2" t="s">
        <v>1</v>
      </c>
      <c r="B2" s="4">
        <v>40000</v>
      </c>
    </row>
    <row r="3" spans="1:2" x14ac:dyDescent="0.25">
      <c r="A3" t="s">
        <v>2</v>
      </c>
      <c r="B3" s="4">
        <v>12000</v>
      </c>
    </row>
    <row r="4" spans="1:2" x14ac:dyDescent="0.25">
      <c r="A4" t="s">
        <v>3</v>
      </c>
      <c r="B4" s="6">
        <v>0.11999999731779099</v>
      </c>
    </row>
    <row r="5" spans="1:2" x14ac:dyDescent="0.25">
      <c r="A5" t="s">
        <v>4</v>
      </c>
      <c r="B5" s="2">
        <v>10</v>
      </c>
    </row>
    <row r="6" spans="1:2" x14ac:dyDescent="0.25">
      <c r="A6" t="s">
        <v>5</v>
      </c>
      <c r="B6" s="6">
        <v>0.15999999642372131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7"/>
  <sheetViews>
    <sheetView workbookViewId="0">
      <selection activeCell="E3" sqref="E3:E7"/>
    </sheetView>
  </sheetViews>
  <sheetFormatPr baseColWidth="10" defaultRowHeight="15" x14ac:dyDescent="0.25"/>
  <cols>
    <col min="1" max="1" width="46.5703125" customWidth="1"/>
  </cols>
  <sheetData>
    <row r="1" spans="1:5" x14ac:dyDescent="0.25">
      <c r="A1" s="5" t="s">
        <v>11</v>
      </c>
    </row>
    <row r="2" spans="1:5" x14ac:dyDescent="0.25">
      <c r="A2" t="s">
        <v>1</v>
      </c>
      <c r="B2">
        <v>0</v>
      </c>
    </row>
    <row r="3" spans="1:5" x14ac:dyDescent="0.25">
      <c r="A3" t="s">
        <v>2</v>
      </c>
      <c r="B3">
        <v>0</v>
      </c>
      <c r="E3" s="2"/>
    </row>
    <row r="4" spans="1:5" x14ac:dyDescent="0.25">
      <c r="A4" t="s">
        <v>3</v>
      </c>
      <c r="B4">
        <v>0</v>
      </c>
      <c r="E4" s="2"/>
    </row>
    <row r="5" spans="1:5" x14ac:dyDescent="0.25">
      <c r="A5" t="s">
        <v>4</v>
      </c>
      <c r="B5">
        <v>0</v>
      </c>
      <c r="E5" s="2"/>
    </row>
    <row r="6" spans="1:5" x14ac:dyDescent="0.25">
      <c r="A6" t="s">
        <v>5</v>
      </c>
      <c r="B6">
        <v>0</v>
      </c>
      <c r="E6" s="2"/>
    </row>
    <row r="7" spans="1:5" x14ac:dyDescent="0.25">
      <c r="E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9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9" spans="1:11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6"/>
  <sheetViews>
    <sheetView workbookViewId="0">
      <selection activeCell="C1" sqref="C1"/>
    </sheetView>
  </sheetViews>
  <sheetFormatPr baseColWidth="10" defaultRowHeight="15" x14ac:dyDescent="0.25"/>
  <cols>
    <col min="1" max="1" width="46.5703125" customWidth="1"/>
  </cols>
  <sheetData>
    <row r="1" spans="1:2" x14ac:dyDescent="0.25">
      <c r="A1" s="5" t="s">
        <v>11</v>
      </c>
    </row>
    <row r="2" spans="1:2" x14ac:dyDescent="0.25">
      <c r="A2" t="s">
        <v>1</v>
      </c>
      <c r="B2" s="4">
        <v>40000</v>
      </c>
    </row>
    <row r="3" spans="1:2" x14ac:dyDescent="0.25">
      <c r="A3" t="s">
        <v>2</v>
      </c>
      <c r="B3" s="4">
        <v>12000</v>
      </c>
    </row>
    <row r="4" spans="1:2" x14ac:dyDescent="0.25">
      <c r="A4" t="s">
        <v>3</v>
      </c>
      <c r="B4" s="6">
        <v>0.11999999731779099</v>
      </c>
    </row>
    <row r="5" spans="1:2" x14ac:dyDescent="0.25">
      <c r="A5" t="s">
        <v>4</v>
      </c>
      <c r="B5" s="2">
        <v>10</v>
      </c>
    </row>
    <row r="6" spans="1:2" x14ac:dyDescent="0.25">
      <c r="A6" t="s">
        <v>5</v>
      </c>
      <c r="B6" s="6">
        <v>0.15999999642372131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11"/>
  <sheetViews>
    <sheetView workbookViewId="0">
      <selection activeCell="A9" sqref="A9"/>
    </sheetView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9" spans="1:11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3"/>
  <sheetViews>
    <sheetView workbookViewId="0">
      <selection activeCell="B13" sqref="B13"/>
    </sheetView>
  </sheetViews>
  <sheetFormatPr baseColWidth="10" defaultRowHeight="15" x14ac:dyDescent="0.25"/>
  <cols>
    <col min="1" max="1" width="46.5703125" customWidth="1"/>
  </cols>
  <sheetData>
    <row r="1" spans="1:11" x14ac:dyDescent="0.25">
      <c r="A1" t="s">
        <v>0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1">
        <v>0.12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1">
        <v>0.16</v>
      </c>
    </row>
    <row r="8" spans="1:11" x14ac:dyDescent="0.25">
      <c r="A8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f>B10*(1+$B$4)</f>
        <v>13440.000000000002</v>
      </c>
      <c r="D10" s="3">
        <f t="shared" ref="D10:K10" si="0">C10*(1+$B$4)</f>
        <v>15052.800000000003</v>
      </c>
      <c r="E10" s="3">
        <f>D10*(1+$B$4)</f>
        <v>16859.136000000006</v>
      </c>
      <c r="F10" s="3">
        <f t="shared" si="0"/>
        <v>18882.23232000001</v>
      </c>
      <c r="G10" s="3">
        <f t="shared" si="0"/>
        <v>21148.100198400014</v>
      </c>
      <c r="H10" s="3">
        <f t="shared" si="0"/>
        <v>23685.872222208018</v>
      </c>
      <c r="I10" s="3">
        <f t="shared" si="0"/>
        <v>26528.176888872982</v>
      </c>
      <c r="J10" s="3">
        <f t="shared" si="0"/>
        <v>29711.558115537744</v>
      </c>
      <c r="K10" s="3">
        <f t="shared" si="0"/>
        <v>33276.945089402274</v>
      </c>
    </row>
    <row r="11" spans="1:11" x14ac:dyDescent="0.25">
      <c r="A11" t="s">
        <v>9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10</v>
      </c>
      <c r="B13" s="3">
        <f>-B2+B10*B11+C10*C11+D10*D11+E10*E11+F10*F11+G10*G11+H10*H11+I10*I11+J10*J11+K10*K11</f>
        <v>70040.833314664094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K20"/>
  <sheetViews>
    <sheetView tabSelected="1"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0.86206896551724144</v>
      </c>
      <c r="C11">
        <v>0.75757575757575757</v>
      </c>
      <c r="D11">
        <v>0.67567567567567566</v>
      </c>
      <c r="E11">
        <v>0.6097560975609756</v>
      </c>
      <c r="F11">
        <v>0.55555555555555558</v>
      </c>
      <c r="G11">
        <v>0.51020408163265307</v>
      </c>
      <c r="H11">
        <v>0.47169811320754712</v>
      </c>
      <c r="I11">
        <v>0.43859649122807015</v>
      </c>
      <c r="J11">
        <v>0.4098360655737705</v>
      </c>
      <c r="K11">
        <v>0.38461538461538458</v>
      </c>
    </row>
    <row r="13" spans="1:11" x14ac:dyDescent="0.25">
      <c r="A13" s="5" t="s">
        <v>10</v>
      </c>
      <c r="B13" s="3">
        <f>-B2+B10*B11+C10*C11+D10*D11+E10*E11+F10*F11+G10*G11+H10*H11+I10*I11+J10*J11+K10*K11</f>
        <v>70040.835521564717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0.2</v>
      </c>
      <c r="K16">
        <v>59203.92172141331</v>
      </c>
    </row>
    <row r="17" spans="10:11" x14ac:dyDescent="0.25">
      <c r="J17" s="7">
        <v>0.1</v>
      </c>
      <c r="K17">
        <v>92483.004814099753</v>
      </c>
    </row>
    <row r="18" spans="10:11" x14ac:dyDescent="0.25">
      <c r="J18" s="7">
        <v>0.2</v>
      </c>
      <c r="K18">
        <v>59203.92172141331</v>
      </c>
    </row>
    <row r="19" spans="10:11" x14ac:dyDescent="0.25">
      <c r="J19" s="7">
        <v>0.15</v>
      </c>
      <c r="K19">
        <v>73178.214342403924</v>
      </c>
    </row>
    <row r="20" spans="10:11" x14ac:dyDescent="0.25">
      <c r="J20" s="7">
        <v>0.16</v>
      </c>
      <c r="K20">
        <v>70040.835476238979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K20"/>
  <sheetViews>
    <sheetView topLeftCell="A2"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0.625</v>
      </c>
      <c r="C11">
        <v>0.45454545454545453</v>
      </c>
      <c r="D11">
        <v>0.35714285714285715</v>
      </c>
      <c r="E11">
        <v>0.29411764705882354</v>
      </c>
      <c r="F11">
        <v>0.25</v>
      </c>
      <c r="G11">
        <v>0.21739130434782611</v>
      </c>
      <c r="H11">
        <v>0.19230769230769229</v>
      </c>
      <c r="I11">
        <v>0.17241379310344829</v>
      </c>
      <c r="J11">
        <v>0.15625</v>
      </c>
      <c r="K11">
        <v>0.14285714285714285</v>
      </c>
    </row>
    <row r="13" spans="1:11" x14ac:dyDescent="0.25">
      <c r="A13" s="5" t="s">
        <v>10</v>
      </c>
      <c r="B13" s="3">
        <f>-B2+B10*B11+C10*C11+D10*D11+E10*E11+F10*F11+G10*G11+H10*H11+I10*I11+J10*J11+K10*K11</f>
        <v>11786.711676698236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0.1</v>
      </c>
      <c r="K16">
        <v>92483.004814099753</v>
      </c>
    </row>
    <row r="17" spans="10:11" x14ac:dyDescent="0.25">
      <c r="J17" s="7">
        <v>0.1</v>
      </c>
      <c r="K17">
        <v>92483.004814099753</v>
      </c>
    </row>
    <row r="18" spans="10:11" x14ac:dyDescent="0.25">
      <c r="J18" s="7">
        <v>0.1</v>
      </c>
      <c r="K18">
        <v>92483.004814099753</v>
      </c>
    </row>
    <row r="19" spans="10:11" x14ac:dyDescent="0.25">
      <c r="J19" s="7">
        <v>0.2</v>
      </c>
      <c r="K19">
        <v>59203.92172141331</v>
      </c>
    </row>
    <row r="20" spans="10:11" x14ac:dyDescent="0.25">
      <c r="J20" s="7">
        <v>0.6</v>
      </c>
      <c r="K20">
        <v>11786.711659691158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K20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0.90909090909090906</v>
      </c>
      <c r="C11">
        <v>0.83333333333333337</v>
      </c>
      <c r="D11">
        <v>0.76923076923076916</v>
      </c>
      <c r="E11">
        <v>0.7142857142857143</v>
      </c>
      <c r="F11">
        <v>0.66666666666666663</v>
      </c>
      <c r="G11">
        <v>0.625</v>
      </c>
      <c r="H11">
        <v>0.58823529411764697</v>
      </c>
      <c r="I11">
        <v>0.55555555555555558</v>
      </c>
      <c r="J11">
        <v>0.52631578947368418</v>
      </c>
      <c r="K11">
        <v>0.5</v>
      </c>
    </row>
    <row r="13" spans="1:11" x14ac:dyDescent="0.25">
      <c r="A13" s="5" t="s">
        <v>10</v>
      </c>
      <c r="B13" s="3">
        <f>-B2+B10*B11+C10*C11+D10*D11+E10*E11+F10*F11+G10*G11+H10*H11+I10*I11+J10*J11+K10*K11</f>
        <v>92483.004870500954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0.1</v>
      </c>
      <c r="K16">
        <v>92483.004814099753</v>
      </c>
    </row>
    <row r="17" spans="10:11" x14ac:dyDescent="0.25">
      <c r="J17" s="7">
        <v>0.1</v>
      </c>
      <c r="K17">
        <v>92483.004814099753</v>
      </c>
    </row>
    <row r="18" spans="10:11" x14ac:dyDescent="0.25">
      <c r="J18" s="7">
        <v>0.1</v>
      </c>
      <c r="K18">
        <v>92483.004814099753</v>
      </c>
    </row>
    <row r="19" spans="10:11" x14ac:dyDescent="0.25">
      <c r="J19" s="7">
        <v>0.1</v>
      </c>
      <c r="K19">
        <v>92483.004814099753</v>
      </c>
    </row>
    <row r="20" spans="10:11" x14ac:dyDescent="0.25">
      <c r="J20" s="7">
        <v>0.1</v>
      </c>
      <c r="K20">
        <v>92483.004814099753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K20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 s="7">
        <v>0.86956521739130443</v>
      </c>
      <c r="C11" s="7">
        <v>0.76923076923076916</v>
      </c>
      <c r="D11" s="7">
        <v>0.68965517241379315</v>
      </c>
      <c r="E11" s="7">
        <v>0.625</v>
      </c>
      <c r="F11" s="7">
        <v>0.5714285714285714</v>
      </c>
      <c r="G11" s="7">
        <v>0.52631578947368418</v>
      </c>
      <c r="H11" s="7">
        <v>0.48780487804878053</v>
      </c>
      <c r="I11" s="7">
        <v>0.45454545454545453</v>
      </c>
      <c r="J11" s="7">
        <v>0.42553191489361708</v>
      </c>
      <c r="K11" s="7">
        <v>0.4</v>
      </c>
    </row>
    <row r="13" spans="1:11" x14ac:dyDescent="0.25">
      <c r="A13" s="5" t="s">
        <v>10</v>
      </c>
      <c r="B13" s="3">
        <f>-B2+B10*B11+C10*C11+D10*D11+E10*E11+F10*F11+G10*G11+H10*H11+I10*I11+J10*J11+K10*K11</f>
        <v>73178.214389298257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0.15</v>
      </c>
      <c r="K16">
        <v>73178.214342403924</v>
      </c>
    </row>
    <row r="17" spans="10:11" x14ac:dyDescent="0.25">
      <c r="J17" s="7">
        <v>0.15</v>
      </c>
      <c r="K17">
        <v>73178.214342403924</v>
      </c>
    </row>
    <row r="18" spans="10:11" x14ac:dyDescent="0.25">
      <c r="J18" s="7">
        <v>0.15</v>
      </c>
      <c r="K18">
        <v>73178.214342403924</v>
      </c>
    </row>
    <row r="19" spans="10:11" x14ac:dyDescent="0.25">
      <c r="J19" s="7">
        <v>0.15</v>
      </c>
      <c r="K19">
        <v>73178.214342403924</v>
      </c>
    </row>
    <row r="20" spans="10:11" x14ac:dyDescent="0.25">
      <c r="J20" s="7">
        <v>0.15</v>
      </c>
      <c r="K20">
        <v>73178.214342403924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K20"/>
  <sheetViews>
    <sheetView topLeftCell="B2"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 s="7">
        <v>0.16666666666666666</v>
      </c>
      <c r="C11" s="7">
        <v>9.0909090909090912E-2</v>
      </c>
      <c r="D11" s="7">
        <v>6.25E-2</v>
      </c>
      <c r="E11" s="7">
        <v>4.7619047619047616E-2</v>
      </c>
      <c r="F11" s="7">
        <v>3.8461538461538464E-2</v>
      </c>
      <c r="G11" s="7">
        <v>3.2258064516129031E-2</v>
      </c>
      <c r="H11" s="7">
        <v>2.7777777777777776E-2</v>
      </c>
      <c r="I11" s="7">
        <v>2.4390243902439025E-2</v>
      </c>
      <c r="J11" s="7">
        <v>2.1739130434782608E-2</v>
      </c>
      <c r="K11" s="7">
        <v>1.9607843137254902E-2</v>
      </c>
    </row>
    <row r="13" spans="1:11" x14ac:dyDescent="0.25">
      <c r="A13" s="5" t="s">
        <v>10</v>
      </c>
      <c r="B13" s="3">
        <f>-B2+B10*B11+C10*C11+D10*D11+E10*E11+F10*F11+G10*G11+H10*H11+I10*I11+J10*J11+K10*K11</f>
        <v>-31022.767043163058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2</v>
      </c>
      <c r="K16">
        <v>-19657.097049425673</v>
      </c>
    </row>
    <row r="17" spans="10:11" x14ac:dyDescent="0.25">
      <c r="J17" s="7">
        <v>45</v>
      </c>
      <c r="K17">
        <v>-38930.617866008753</v>
      </c>
    </row>
    <row r="18" spans="10:11" x14ac:dyDescent="0.25">
      <c r="J18" s="7">
        <v>10</v>
      </c>
      <c r="K18">
        <v>-35338.300659777495</v>
      </c>
    </row>
    <row r="19" spans="10:11" x14ac:dyDescent="0.25">
      <c r="J19" s="7">
        <v>2</v>
      </c>
      <c r="K19">
        <v>-19657.097049425673</v>
      </c>
    </row>
    <row r="20" spans="10:11" x14ac:dyDescent="0.25">
      <c r="J20" s="7">
        <v>5</v>
      </c>
      <c r="K20">
        <v>-31022.767045089051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K13"/>
  <sheetViews>
    <sheetView workbookViewId="0">
      <selection activeCell="C7" sqref="C7"/>
    </sheetView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 s="7">
        <v>0.86206901073455811</v>
      </c>
      <c r="C11" s="7">
        <v>0.75757580995559692</v>
      </c>
      <c r="D11" s="7">
        <v>0.67567569017410278</v>
      </c>
      <c r="E11" s="7">
        <v>0.60975611209869385</v>
      </c>
      <c r="F11" s="7">
        <v>0.55555558204650879</v>
      </c>
      <c r="G11" s="7">
        <v>0.51020407676696777</v>
      </c>
      <c r="H11" s="7">
        <v>0.47169813513755798</v>
      </c>
      <c r="I11" s="7">
        <v>0.43859648704528809</v>
      </c>
      <c r="J11" s="7">
        <v>0.4098360538482666</v>
      </c>
      <c r="K11" s="7">
        <v>0.38461539149284363</v>
      </c>
    </row>
    <row r="13" spans="1:11" x14ac:dyDescent="0.25">
      <c r="A13" s="5" t="s">
        <v>10</v>
      </c>
      <c r="B13" s="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  <c r="B13" s="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  <c r="B1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  <c r="B1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3"/>
  <sheetViews>
    <sheetView workbookViewId="0">
      <selection activeCell="B13" sqref="B13"/>
    </sheetView>
  </sheetViews>
  <sheetFormatPr baseColWidth="10" defaultRowHeight="15" x14ac:dyDescent="0.25"/>
  <sheetData>
    <row r="13" spans="2:2" x14ac:dyDescent="0.25">
      <c r="B13">
        <f>-B2+B10*B11+C10*C11+D10*D11+E10*E11+F10*F11+G10*G11+H10*H11+I10*I11+J10*J11+K10*K11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Hoja2</vt:lpstr>
      <vt:lpstr>Hoja4</vt:lpstr>
      <vt:lpstr>Hoja3</vt:lpstr>
      <vt:lpstr>Hoja6</vt:lpstr>
      <vt:lpstr>Hoja5</vt:lpstr>
      <vt:lpstr>Hoja7</vt:lpstr>
      <vt:lpstr>Hoja9</vt:lpstr>
      <vt:lpstr>Hoja8</vt:lpstr>
      <vt:lpstr>Hoja1</vt:lpstr>
      <vt:lpstr>Hoja19</vt:lpstr>
      <vt:lpstr>Hoja18</vt:lpstr>
      <vt:lpstr>Hoja17</vt:lpstr>
      <vt:lpstr>Hoja16</vt:lpstr>
      <vt:lpstr>Hoja15</vt:lpstr>
      <vt:lpstr>Hoja14</vt:lpstr>
      <vt:lpstr>Hoja13</vt:lpstr>
      <vt:lpstr>Hoja12</vt:lpstr>
      <vt:lpstr>Hoja11</vt:lpstr>
      <vt:lpstr>Hoja10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Luis Y Lorena</dc:creator>
  <cp:lastModifiedBy>José Luis Y Lorena</cp:lastModifiedBy>
  <dcterms:created xsi:type="dcterms:W3CDTF">2019-02-14T00:33:35Z</dcterms:created>
  <dcterms:modified xsi:type="dcterms:W3CDTF">2019-03-14T05:21:09Z</dcterms:modified>
</cp:coreProperties>
</file>